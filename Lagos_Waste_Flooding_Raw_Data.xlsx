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 activeTab="1"/>
  </bookViews>
  <sheets>
    <sheet name="Waste_2007_2013" sheetId="1" r:id="rId1"/>
    <sheet name="Drainage_Blockage_LGA" sheetId="2" r:id="rId2"/>
    <sheet name="Flood_Evidence" sheetId="3" r:id="rId3"/>
    <sheet name="WaCT_2021" sheetId="4" r:id="rId4"/>
    <sheet name="Sources_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<sst xmlns="http://schemas.openxmlformats.org/spreadsheetml/2006/main" count="94" uniqueCount="77">
  <si>
    <t>Year</t>
  </si>
  <si>
    <t>Per Capita Waste Generation (kg/person/day)</t>
  </si>
  <si>
    <t>Projected Population</t>
  </si>
  <si>
    <t>Waste Generated (tons/year)</t>
  </si>
  <si>
    <t>Waste Collected (tons/year)</t>
  </si>
  <si>
    <t>Collection Rate (%)</t>
  </si>
  <si>
    <t>Uncollected Waste (tons/year)</t>
  </si>
  <si>
    <t>Uncollected (%)</t>
  </si>
  <si>
    <t>LGA</t>
  </si>
  <si>
    <t>Drainage Blockage Points</t>
  </si>
  <si>
    <t>Blockage Share (%)</t>
  </si>
  <si>
    <t>Source Year</t>
  </si>
  <si>
    <t>Shomolu</t>
  </si>
  <si>
    <t>Lagos Island</t>
  </si>
  <si>
    <t>Apapa</t>
  </si>
  <si>
    <t>Lagos Mainland</t>
  </si>
  <si>
    <t>Surulere</t>
  </si>
  <si>
    <t>Kosofe</t>
  </si>
  <si>
    <t>Ajeromi-Ifelodun</t>
  </si>
  <si>
    <t>Alimosho</t>
  </si>
  <si>
    <t>Mushin</t>
  </si>
  <si>
    <t>Agege</t>
  </si>
  <si>
    <t>Ojo</t>
  </si>
  <si>
    <t>Eti-Osa</t>
  </si>
  <si>
    <t>Oshodi-Isolo</t>
  </si>
  <si>
    <t>Ifako-Ijaiye</t>
  </si>
  <si>
    <t>Amuwo-Odofin</t>
  </si>
  <si>
    <t>Ikeja</t>
  </si>
  <si>
    <t>TOTAL</t>
  </si>
  <si>
    <t>Indicator</t>
  </si>
  <si>
    <t>Value</t>
  </si>
  <si>
    <t>Unit/Description</t>
  </si>
  <si>
    <t>Flood-prone streets affected by excessive rainfall + MSW drainage blockage</t>
  </si>
  <si>
    <t>streets</t>
  </si>
  <si>
    <t>Drainage blockage points caused by MSW</t>
  </si>
  <si>
    <t>points</t>
  </si>
  <si>
    <t>Sampled buildings' average flood frequency</t>
  </si>
  <si>
    <t>times</t>
  </si>
  <si>
    <t>Minimum sampled building flood frequency</t>
  </si>
  <si>
    <t>Maximum sampled building flood frequency</t>
  </si>
  <si>
    <t>Regression R²: waste disposal methods + collection frequency vs flood frequency</t>
  </si>
  <si>
    <t>R²</t>
  </si>
  <si>
    <t>Buildings sampled</t>
  </si>
  <si>
    <t>successful questionnaire respondents</t>
  </si>
  <si>
    <t>Streets sampled</t>
  </si>
  <si>
    <t>flood-prone streets</t>
  </si>
  <si>
    <t>Total flood-prone streets in source list</t>
  </si>
  <si>
    <t>Unit</t>
  </si>
  <si>
    <t>Population</t>
  </si>
  <si>
    <t>people</t>
  </si>
  <si>
    <t>Household waste generated</t>
  </si>
  <si>
    <t>tons/day</t>
  </si>
  <si>
    <t>Non-household waste generated</t>
  </si>
  <si>
    <t>Total MSW generated</t>
  </si>
  <si>
    <t>MSW collected</t>
  </si>
  <si>
    <t>MSW uncollected</t>
  </si>
  <si>
    <t>percent</t>
  </si>
  <si>
    <t>MSW recovered / managed in controlled facilities</t>
  </si>
  <si>
    <t>City recovery rate</t>
  </si>
  <si>
    <t>Dataset</t>
  </si>
  <si>
    <t>Source</t>
  </si>
  <si>
    <t>Notes</t>
  </si>
  <si>
    <t>Waste_2007_2013</t>
  </si>
  <si>
    <t>Ojolowo &amp; Wahab (2017), Journal of Geography and Regional Planning</t>
  </si>
  <si>
    <t>Table 3; historical Lagos metropolis data. Values reproduced from the published table.</t>
  </si>
  <si>
    <t>Drainage_Blockage_LGA</t>
  </si>
  <si>
    <t>Ojolowo &amp; Wahab (2017)</t>
  </si>
  <si>
    <t>LGA-level counts of 222 MSW drainage blockage points mapped in 2014; not a current dataset.</t>
  </si>
  <si>
    <t>Flood_Evidence</t>
  </si>
  <si>
    <t>Field survey and secondary data; regression is the authors' analysis, not a new calculation here.</t>
  </si>
  <si>
    <t>WaCT_2021</t>
  </si>
  <si>
    <t>UN-Habitat Waste Wise Cities Tool factsheet for Lagos</t>
  </si>
  <si>
    <t>2021 city assessment; standardized waste-flow indicators.</t>
  </si>
  <si>
    <t>Important limitation</t>
  </si>
  <si>
    <t>Source documentation</t>
  </si>
  <si>
    <t>The individual GPS coordinates for the 222 blockage points are not reproduced here; only published LGA totals are included.</t>
  </si>
  <si>
    <t>Waste_2007_2013 and WaCT_2021 are different assessments/methodologies and should not be merged as one continuous time series without qualification.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</si>
</sst>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7" outlineLevelCol="7"/>
  <cols>
    <col min="1" max="1" width="12" customWidth="1"/>
    <col min="2" max="2" width="42" customWidth="1"/>
    <col min="3" max="3" width="22" customWidth="1"/>
    <col min="4" max="5" width="29" customWidth="1"/>
    <col min="6" max="6" width="21" customWidth="1"/>
    <col min="7" max="7" width="31" customWidth="1"/>
    <col min="8" max="8" width="1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2007</v>
      </c>
      <c r="B2">
        <v>0.5</v>
      </c>
      <c r="C2">
        <v>16574253</v>
      </c>
      <c r="D2">
        <v>8287126.5</v>
      </c>
      <c r="E2">
        <v>2222745.5</v>
      </c>
      <c r="F2">
        <v>26.8</v>
      </c>
      <c r="G2">
        <v>6064381</v>
      </c>
      <c r="H2">
        <v>73.2</v>
      </c>
    </row>
    <row r="3" spans="1:8">
      <c r="A3">
        <v>2008</v>
      </c>
      <c r="B3">
        <v>0.5</v>
      </c>
      <c r="C3">
        <v>17104609</v>
      </c>
      <c r="D3">
        <v>8552304.5</v>
      </c>
      <c r="E3">
        <v>2814543.45</v>
      </c>
      <c r="F3">
        <v>32.9</v>
      </c>
      <c r="G3">
        <v>5737761.05</v>
      </c>
      <c r="H3">
        <v>76.1</v>
      </c>
    </row>
    <row r="4" spans="1:8">
      <c r="A4">
        <v>2009</v>
      </c>
      <c r="B4">
        <v>0.6</v>
      </c>
      <c r="C4">
        <v>18551956</v>
      </c>
      <c r="D4">
        <v>11131173.6</v>
      </c>
      <c r="E4">
        <v>3831708</v>
      </c>
      <c r="F4">
        <v>34.4</v>
      </c>
      <c r="G4">
        <v>7299465.6</v>
      </c>
      <c r="H4">
        <v>65.6</v>
      </c>
    </row>
    <row r="5" spans="1:8">
      <c r="A5">
        <v>2010</v>
      </c>
      <c r="B5">
        <v>0.6</v>
      </c>
      <c r="C5">
        <v>18234823</v>
      </c>
      <c r="D5">
        <v>10940893.8</v>
      </c>
      <c r="E5">
        <v>2819024.55</v>
      </c>
      <c r="F5">
        <v>25.8</v>
      </c>
      <c r="G5">
        <v>8121869.25</v>
      </c>
      <c r="H5">
        <v>74.2</v>
      </c>
    </row>
    <row r="6" spans="1:8">
      <c r="A6">
        <v>2011</v>
      </c>
      <c r="B6">
        <v>0.65</v>
      </c>
      <c r="C6">
        <v>18799756</v>
      </c>
      <c r="D6">
        <v>12219841.4</v>
      </c>
      <c r="E6">
        <v>2156801</v>
      </c>
      <c r="F6">
        <v>17.6</v>
      </c>
      <c r="G6">
        <v>10063040.4</v>
      </c>
      <c r="H6">
        <v>82.4</v>
      </c>
    </row>
    <row r="7" spans="1:8">
      <c r="A7">
        <v>2012</v>
      </c>
      <c r="B7">
        <v>0.65</v>
      </c>
      <c r="C7">
        <v>19401306</v>
      </c>
      <c r="D7">
        <v>12610874.9</v>
      </c>
      <c r="E7">
        <v>4111169.77</v>
      </c>
      <c r="F7">
        <v>32.6</v>
      </c>
      <c r="G7">
        <v>8499705.13</v>
      </c>
      <c r="H7">
        <v>67.4</v>
      </c>
    </row>
    <row r="8" spans="1:8">
      <c r="A8">
        <v>2013</v>
      </c>
      <c r="B8">
        <v>0.7</v>
      </c>
      <c r="C8">
        <v>20022189</v>
      </c>
      <c r="D8">
        <v>14015532.3</v>
      </c>
      <c r="E8">
        <v>3585426.46</v>
      </c>
      <c r="F8">
        <v>25.6</v>
      </c>
      <c r="G8">
        <v>10430105.84</v>
      </c>
      <c r="H8">
        <v>74.4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4.5" outlineLevelCol="5"/>
  <cols>
    <col min="1" max="1" width="18" customWidth="1"/>
    <col min="2" max="2" width="26" customWidth="1"/>
    <col min="3" max="3" width="16.4545454545455" customWidth="1"/>
    <col min="4" max="4" width="13" customWidth="1"/>
    <col min="6" max="6" width="11.7272727272727"/>
  </cols>
  <sheetData>
    <row r="1" spans="1:6">
      <c r="A1" s="1" t="s">
        <v>8</v>
      </c>
      <c r="B1" s="1" t="s">
        <v>9</v>
      </c>
      <c r="C1" s="2" t="s">
        <v>10</v>
      </c>
      <c r="D1" s="1" t="s">
        <v>11</v>
      </c>
    </row>
    <row r="2" spans="1:6">
      <c r="A2" t="s">
        <v>12</v>
      </c>
      <c r="B2">
        <v>36</v>
      </c>
      <c r="C2">
        <f>B2/SUM($B$2:$B$17)*100</f>
        <v>16.2162162162162</v>
      </c>
      <c r="D2">
        <v>2014</v>
      </c>
      <c r="F2">
        <f>SUM(B2:B6)/SUM($B$2:$B$17)*100</f>
        <v>50.9009009009009</v>
      </c>
    </row>
    <row r="3" spans="1:6">
      <c r="A3" t="s">
        <v>13</v>
      </c>
      <c r="B3">
        <v>20</v>
      </c>
      <c r="C3">
        <f t="shared" ref="C3:C18" si="0">B3/SUM($B$2:$B$17)*100</f>
        <v>9.00900900900901</v>
      </c>
      <c r="D3">
        <v>2014</v>
      </c>
    </row>
    <row r="4" spans="1:6">
      <c r="A4" t="s">
        <v>14</v>
      </c>
      <c r="B4">
        <v>19</v>
      </c>
      <c r="C4">
        <f t="shared" si="0"/>
        <v>8.55855855855856</v>
      </c>
      <c r="D4">
        <v>2014</v>
      </c>
    </row>
    <row r="5" spans="1:6">
      <c r="A5" t="s">
        <v>15</v>
      </c>
      <c r="B5">
        <v>19</v>
      </c>
      <c r="C5">
        <f t="shared" si="0"/>
        <v>8.55855855855856</v>
      </c>
      <c r="D5">
        <v>2014</v>
      </c>
    </row>
    <row r="6" spans="1:6">
      <c r="A6" t="s">
        <v>16</v>
      </c>
      <c r="B6">
        <v>19</v>
      </c>
      <c r="C6">
        <f t="shared" si="0"/>
        <v>8.55855855855856</v>
      </c>
      <c r="D6">
        <v>2014</v>
      </c>
    </row>
    <row r="7" spans="1:6">
      <c r="A7" t="s">
        <v>17</v>
      </c>
      <c r="B7">
        <v>18</v>
      </c>
      <c r="C7">
        <f t="shared" si="0"/>
        <v>8.10810810810811</v>
      </c>
      <c r="D7">
        <v>2014</v>
      </c>
    </row>
    <row r="8" spans="1:6">
      <c r="A8" t="s">
        <v>18</v>
      </c>
      <c r="B8">
        <v>17</v>
      </c>
      <c r="C8">
        <f t="shared" si="0"/>
        <v>7.65765765765766</v>
      </c>
      <c r="D8">
        <v>2014</v>
      </c>
    </row>
    <row r="9" spans="1:6">
      <c r="A9" t="s">
        <v>19</v>
      </c>
      <c r="B9">
        <v>13</v>
      </c>
      <c r="C9">
        <f t="shared" si="0"/>
        <v>5.85585585585586</v>
      </c>
      <c r="D9">
        <v>2014</v>
      </c>
    </row>
    <row r="10" spans="1:6">
      <c r="A10" t="s">
        <v>20</v>
      </c>
      <c r="B10">
        <v>13</v>
      </c>
      <c r="C10">
        <f t="shared" si="0"/>
        <v>5.85585585585586</v>
      </c>
      <c r="D10">
        <v>2014</v>
      </c>
    </row>
    <row r="11" spans="1:6">
      <c r="A11" t="s">
        <v>21</v>
      </c>
      <c r="B11">
        <v>12</v>
      </c>
      <c r="C11">
        <f t="shared" si="0"/>
        <v>5.40540540540541</v>
      </c>
      <c r="D11">
        <v>2014</v>
      </c>
    </row>
    <row r="12" spans="1:6">
      <c r="A12" t="s">
        <v>22</v>
      </c>
      <c r="B12">
        <v>9</v>
      </c>
      <c r="C12">
        <f t="shared" si="0"/>
        <v>4.05405405405405</v>
      </c>
      <c r="D12">
        <v>2014</v>
      </c>
    </row>
    <row r="13" spans="1:6">
      <c r="A13" t="s">
        <v>23</v>
      </c>
      <c r="B13">
        <v>8</v>
      </c>
      <c r="C13">
        <f t="shared" si="0"/>
        <v>3.6036036036036</v>
      </c>
      <c r="D13">
        <v>2014</v>
      </c>
    </row>
    <row r="14" spans="1:6">
      <c r="A14" t="s">
        <v>24</v>
      </c>
      <c r="B14">
        <v>7</v>
      </c>
      <c r="C14">
        <f t="shared" si="0"/>
        <v>3.15315315315315</v>
      </c>
      <c r="D14">
        <v>2014</v>
      </c>
    </row>
    <row r="15" spans="1:6">
      <c r="A15" t="s">
        <v>25</v>
      </c>
      <c r="B15">
        <v>6</v>
      </c>
      <c r="C15">
        <f t="shared" si="0"/>
        <v>2.7027027027027</v>
      </c>
      <c r="D15">
        <v>2014</v>
      </c>
    </row>
    <row r="16" spans="1:6">
      <c r="A16" t="s">
        <v>26</v>
      </c>
      <c r="B16">
        <v>3</v>
      </c>
      <c r="C16">
        <f t="shared" si="0"/>
        <v>1.35135135135135</v>
      </c>
      <c r="D16">
        <v>2014</v>
      </c>
    </row>
    <row r="17" spans="1:4">
      <c r="A17" t="s">
        <v>27</v>
      </c>
      <c r="B17">
        <v>3</v>
      </c>
      <c r="C17">
        <f t="shared" si="0"/>
        <v>1.35135135135135</v>
      </c>
      <c r="D17">
        <v>2014</v>
      </c>
    </row>
    <row r="18" spans="1:4">
      <c r="A18" t="s">
        <v>28</v>
      </c>
      <c r="B18">
        <v>222</v>
      </c>
      <c r="C18">
        <f t="shared" si="0"/>
        <v>100</v>
      </c>
      <c r="D18">
        <v>2014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F3" sqref="F3"/>
    </sheetView>
  </sheetViews>
  <sheetFormatPr defaultColWidth="9" defaultRowHeight="14.5" outlineLevelCol="5"/>
  <cols>
    <col min="1" max="1" width="42" customWidth="1"/>
    <col min="2" max="2" width="12" customWidth="1"/>
    <col min="3" max="3" width="38" customWidth="1"/>
    <col min="4" max="4" width="13" customWidth="1"/>
    <col min="6" max="6" width="12.8181818181818"/>
  </cols>
  <sheetData>
    <row r="1" spans="1:6">
      <c r="A1" s="1" t="s">
        <v>29</v>
      </c>
      <c r="B1" s="1" t="s">
        <v>30</v>
      </c>
      <c r="C1" s="1" t="s">
        <v>31</v>
      </c>
      <c r="D1" s="1" t="s">
        <v>11</v>
      </c>
    </row>
    <row r="2" spans="1:6">
      <c r="A2" t="s">
        <v>32</v>
      </c>
      <c r="B2">
        <v>126</v>
      </c>
      <c r="C2" t="s">
        <v>33</v>
      </c>
      <c r="D2">
        <v>2014</v>
      </c>
      <c r="F2">
        <f>126/1403*100</f>
        <v>8.98075552387741</v>
      </c>
    </row>
    <row r="3" spans="1:6">
      <c r="A3" t="s">
        <v>34</v>
      </c>
      <c r="B3">
        <v>222</v>
      </c>
      <c r="C3" t="s">
        <v>35</v>
      </c>
      <c r="D3">
        <v>2014</v>
      </c>
    </row>
    <row r="4" spans="1:6">
      <c r="A4" t="s">
        <v>36</v>
      </c>
      <c r="B4">
        <v>9.3</v>
      </c>
      <c r="C4" t="s">
        <v>37</v>
      </c>
      <c r="D4">
        <v>2014</v>
      </c>
    </row>
    <row r="5" spans="1:6">
      <c r="A5" t="s">
        <v>38</v>
      </c>
      <c r="B5">
        <v>0</v>
      </c>
      <c r="C5" t="s">
        <v>37</v>
      </c>
      <c r="D5">
        <v>2014</v>
      </c>
    </row>
    <row r="6" spans="1:6">
      <c r="A6" t="s">
        <v>39</v>
      </c>
      <c r="B6">
        <v>21</v>
      </c>
      <c r="C6" t="s">
        <v>37</v>
      </c>
      <c r="D6">
        <v>2014</v>
      </c>
    </row>
    <row r="7" spans="1:6">
      <c r="A7" t="s">
        <v>40</v>
      </c>
      <c r="B7">
        <v>0.669</v>
      </c>
      <c r="C7" t="s">
        <v>41</v>
      </c>
      <c r="D7">
        <v>2014</v>
      </c>
    </row>
    <row r="8" spans="1:6">
      <c r="A8" t="s">
        <v>42</v>
      </c>
      <c r="B8">
        <v>1025</v>
      </c>
      <c r="C8" t="s">
        <v>43</v>
      </c>
      <c r="D8">
        <v>2014</v>
      </c>
    </row>
    <row r="9" spans="1:6">
      <c r="A9" t="s">
        <v>44</v>
      </c>
      <c r="B9">
        <v>211</v>
      </c>
      <c r="C9" t="s">
        <v>45</v>
      </c>
      <c r="D9">
        <v>2014</v>
      </c>
    </row>
    <row r="10" spans="1:6">
      <c r="A10" t="s">
        <v>46</v>
      </c>
      <c r="B10">
        <v>1403</v>
      </c>
      <c r="C10" t="s">
        <v>33</v>
      </c>
      <c r="D10">
        <v>2014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3"/>
  <cols>
    <col min="1" max="1" width="42" customWidth="1"/>
    <col min="2" max="3" width="12" customWidth="1"/>
    <col min="4" max="4" width="13" customWidth="1"/>
  </cols>
  <sheetData>
    <row r="1" spans="1:4">
      <c r="A1" s="1" t="s">
        <v>29</v>
      </c>
      <c r="B1" s="1" t="s">
        <v>30</v>
      </c>
      <c r="C1" s="1" t="s">
        <v>47</v>
      </c>
      <c r="D1" s="1" t="s">
        <v>11</v>
      </c>
    </row>
    <row r="2" spans="1:4">
      <c r="A2" t="s">
        <v>48</v>
      </c>
      <c r="B2">
        <v>14368331</v>
      </c>
      <c r="C2" t="s">
        <v>49</v>
      </c>
      <c r="D2">
        <v>2021</v>
      </c>
    </row>
    <row r="3" spans="1:4">
      <c r="A3" t="s">
        <v>50</v>
      </c>
      <c r="B3">
        <v>7944</v>
      </c>
      <c r="C3" t="s">
        <v>51</v>
      </c>
      <c r="D3">
        <v>2021</v>
      </c>
    </row>
    <row r="4" spans="1:4">
      <c r="A4" t="s">
        <v>52</v>
      </c>
      <c r="B4">
        <v>3405</v>
      </c>
      <c r="C4" t="s">
        <v>51</v>
      </c>
      <c r="D4">
        <v>2021</v>
      </c>
    </row>
    <row r="5" spans="1:4">
      <c r="A5" t="s">
        <v>53</v>
      </c>
      <c r="B5">
        <v>11349</v>
      </c>
      <c r="C5" t="s">
        <v>51</v>
      </c>
      <c r="D5">
        <v>2021</v>
      </c>
    </row>
    <row r="6" spans="1:4">
      <c r="A6" t="s">
        <v>54</v>
      </c>
      <c r="B6">
        <v>5445</v>
      </c>
      <c r="C6" t="s">
        <v>51</v>
      </c>
      <c r="D6">
        <v>2021</v>
      </c>
    </row>
    <row r="7" spans="1:4">
      <c r="A7" t="s">
        <v>55</v>
      </c>
      <c r="B7">
        <v>5904</v>
      </c>
      <c r="C7" t="s">
        <v>51</v>
      </c>
      <c r="D7">
        <v>2021</v>
      </c>
    </row>
    <row r="8" spans="1:4">
      <c r="A8" t="s">
        <v>54</v>
      </c>
      <c r="B8">
        <v>48</v>
      </c>
      <c r="C8" t="s">
        <v>56</v>
      </c>
      <c r="D8">
        <v>2021</v>
      </c>
    </row>
    <row r="9" spans="1:4">
      <c r="A9" t="s">
        <v>57</v>
      </c>
      <c r="B9">
        <v>887</v>
      </c>
      <c r="C9" t="s">
        <v>51</v>
      </c>
      <c r="D9">
        <v>2021</v>
      </c>
    </row>
    <row r="10" spans="1:4">
      <c r="A10" t="s">
        <v>58</v>
      </c>
      <c r="B10">
        <v>8</v>
      </c>
      <c r="C10" t="s">
        <v>56</v>
      </c>
      <c r="D10">
        <v>2021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6" outlineLevelCol="2"/>
  <cols>
    <col min="1" max="1" width="23" customWidth="1"/>
    <col min="2" max="3" width="42" customWidth="1"/>
  </cols>
  <sheetData>
    <row r="1" spans="1:3">
      <c r="A1" s="1" t="s">
        <v>59</v>
      </c>
      <c r="B1" s="1" t="s">
        <v>60</v>
      </c>
      <c r="C1" s="1" t="s">
        <v>61</v>
      </c>
    </row>
    <row r="2" spans="1:3">
      <c r="A2" t="s">
        <v>62</v>
      </c>
      <c r="B2" t="s">
        <v>63</v>
      </c>
      <c r="C2" t="s">
        <v>64</v>
      </c>
    </row>
    <row r="3" spans="1:3">
      <c r="A3" t="s">
        <v>65</v>
      </c>
      <c r="B3" t="s">
        <v>66</v>
      </c>
      <c r="C3" t="s">
        <v>67</v>
      </c>
    </row>
    <row r="4" spans="1:3">
      <c r="A4" t="s">
        <v>68</v>
      </c>
      <c r="B4" t="s">
        <v>66</v>
      </c>
      <c r="C4" t="s">
        <v>69</v>
      </c>
    </row>
    <row r="5" spans="1:3">
      <c r="A5" t="s">
        <v>70</v>
      </c>
      <c r="B5" t="s">
        <v>71</v>
      </c>
      <c r="C5" t="s">
        <v>72</v>
      </c>
    </row>
    <row r="6" spans="1:3">
      <c r="A6" t="s">
        <v>73</v>
      </c>
      <c r="B6" t="s">
        <v>74</v>
      </c>
      <c r="C6" t="s">
        <v>75</v>
      </c>
    </row>
    <row r="7" spans="1:3">
      <c r="A7" t="s">
        <v>73</v>
      </c>
      <c r="B7" t="s">
        <v>74</v>
      </c>
      <c r="C7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Waste_2007_2013</vt:lpstr>
      <vt:lpstr>Drainage_Blockage_LGA</vt:lpstr>
      <vt:lpstr>Flood_Evidence</vt:lpstr>
      <vt:lpstr>WaCT_2021</vt:lpstr>
      <vt:lpstr>Sources_Notes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Lightening</cp:lastModifiedBy>
  <dcterms:created xsi:type="dcterms:W3CDTF">2026-10-12T10:12:00Z</dcterms:created>
  <dcterms:modified xsi:type="dcterms:W3CDTF">2026-10-13T10:36:11Z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577FBC0E95764C67AA666BB3723F5842_12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